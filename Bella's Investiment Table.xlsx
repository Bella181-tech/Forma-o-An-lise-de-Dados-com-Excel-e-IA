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be\Downloads\"/>
    </mc:Choice>
  </mc:AlternateContent>
  <xr:revisionPtr revIDLastSave="0" documentId="13_ncr:1_{9EA0BB81-BD90-415B-B57F-E0645D867AD1}" xr6:coauthVersionLast="36" xr6:coauthVersionMax="36" xr10:uidLastSave="{00000000-0000-0000-0000-000000000000}"/>
  <bookViews>
    <workbookView xWindow="0" yWindow="0" windowWidth="13224" windowHeight="5040" xr2:uid="{B2D74E1A-8CF7-41FD-8E8E-F7CCB2223EE5}"/>
  </bookViews>
  <sheets>
    <sheet name="Simulador" sheetId="1" r:id="rId1"/>
  </sheets>
  <definedNames>
    <definedName name="anos">Simulador!$E$26</definedName>
    <definedName name="aporte_mensal">Simulador!$E$25</definedName>
    <definedName name="Arrojado">Simulador!$B$14</definedName>
    <definedName name="Conservador">Simulador!$B$12</definedName>
    <definedName name="dividendo_mensal">Simulador!$E$30</definedName>
    <definedName name="Moderado">Simulador!$B$13</definedName>
    <definedName name="patrimonio_inicial">Simulador!$E$27</definedName>
    <definedName name="patrimonio_projetado">Simulador!$E$29</definedName>
    <definedName name="Perfil">Simulador!$B$11</definedName>
    <definedName name="salario">Simulador!$E$19</definedName>
    <definedName name="taxa">Simulador!$E$28</definedName>
    <definedName name="taxa_mensal">Simulador!$E$28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G13" i="1"/>
  <c r="G12" i="1"/>
  <c r="E28" i="1"/>
  <c r="E20" i="1"/>
  <c r="E29" i="1" l="1"/>
  <c r="E30" i="1" s="1"/>
</calcChain>
</file>

<file path=xl/sharedStrings.xml><?xml version="1.0" encoding="utf-8"?>
<sst xmlns="http://schemas.openxmlformats.org/spreadsheetml/2006/main" count="27" uniqueCount="23">
  <si>
    <t>Aporte mensal (R$)</t>
  </si>
  <si>
    <t>Salário mensal (R$)</t>
  </si>
  <si>
    <t>Capital para investimento</t>
  </si>
  <si>
    <t>Perfil de investimento</t>
  </si>
  <si>
    <t>Aporte mensal recomendado (R$)</t>
  </si>
  <si>
    <t>Conservador</t>
  </si>
  <si>
    <t>Taxa de rendimento mensal</t>
  </si>
  <si>
    <t>Investimento Mensal</t>
  </si>
  <si>
    <t>Perfil</t>
  </si>
  <si>
    <t>Renda fixa</t>
  </si>
  <si>
    <t>FIIs</t>
  </si>
  <si>
    <t>Ações e ETFs</t>
  </si>
  <si>
    <t>Taxa mensal simulada</t>
  </si>
  <si>
    <t>Moderado</t>
  </si>
  <si>
    <t>Arrojado</t>
  </si>
  <si>
    <t>Patrimônio projetado</t>
  </si>
  <si>
    <t>Dividendos mensais estimandos</t>
  </si>
  <si>
    <r>
      <t>Prazo de investimento</t>
    </r>
    <r>
      <rPr>
        <sz val="10"/>
        <color theme="1"/>
        <rFont val="Arial"/>
        <family val="2"/>
      </rPr>
      <t xml:space="preserve"> (anos)</t>
    </r>
  </si>
  <si>
    <t>Patrimônio inicial (R$)</t>
  </si>
  <si>
    <t>Valor mensal simulado</t>
  </si>
  <si>
    <t>perfil</t>
  </si>
  <si>
    <t>porcentagem</t>
  </si>
  <si>
    <t>*Todas as células desta cor estão bloqueadas para edição*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</si>
</sst>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 Unicode MS"/>
      <family val="2"/>
    </font>
    <font>
      <sz val="14"/>
      <name val="Arial Black"/>
      <family val="2"/>
    </font>
    <font>
      <sz val="12"/>
      <color theme="0"/>
      <name val="Arial Black"/>
      <family val="2"/>
    </font>
    <font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C9ABD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 style="thin">
        <color indexed="64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indexed="64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/>
      <diagonal/>
    </border>
    <border>
      <left style="thin">
        <color theme="2" tint="-9.9948118533890809E-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/>
    </border>
    <border>
      <left style="thin">
        <color indexed="64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/>
      <top style="thin">
        <color theme="2" tint="-9.9948118533890809E-2"/>
      </top>
      <bottom style="thin">
        <color indexed="64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horizontal="center" vertical="center" wrapText="1"/>
    </xf>
    <xf numFmtId="0" fontId="8" fillId="0" borderId="0" xfId="0" applyFont="1" applyAlignment="1">
      <alignment vertical="center"/>
    </xf>
    <xf numFmtId="164" fontId="5" fillId="0" borderId="15" xfId="0" applyNumberFormat="1" applyFont="1" applyBorder="1" applyAlignment="1">
      <alignment horizontal="center" vertical="center"/>
    </xf>
    <xf numFmtId="164" fontId="7" fillId="4" borderId="18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/>
    </xf>
    <xf numFmtId="9" fontId="7" fillId="4" borderId="7" xfId="0" applyNumberFormat="1" applyFont="1" applyFill="1" applyBorder="1" applyAlignment="1">
      <alignment horizontal="center" vertical="center"/>
    </xf>
    <xf numFmtId="10" fontId="7" fillId="4" borderId="7" xfId="0" applyNumberFormat="1" applyFont="1" applyFill="1" applyBorder="1" applyAlignment="1">
      <alignment horizontal="center" vertical="center"/>
    </xf>
    <xf numFmtId="164" fontId="7" fillId="4" borderId="5" xfId="0" applyNumberFormat="1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/>
    </xf>
    <xf numFmtId="9" fontId="7" fillId="4" borderId="2" xfId="0" applyNumberFormat="1" applyFont="1" applyFill="1" applyBorder="1" applyAlignment="1">
      <alignment horizontal="center" vertical="center"/>
    </xf>
    <xf numFmtId="10" fontId="7" fillId="4" borderId="2" xfId="0" applyNumberFormat="1" applyFont="1" applyFill="1" applyBorder="1" applyAlignment="1">
      <alignment horizontal="center" vertical="center"/>
    </xf>
    <xf numFmtId="164" fontId="7" fillId="4" borderId="10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9" fontId="7" fillId="4" borderId="8" xfId="0" applyNumberFormat="1" applyFont="1" applyFill="1" applyBorder="1" applyAlignment="1">
      <alignment horizontal="center" vertical="center"/>
    </xf>
    <xf numFmtId="10" fontId="7" fillId="4" borderId="8" xfId="0" applyNumberFormat="1" applyFont="1" applyFill="1" applyBorder="1" applyAlignment="1">
      <alignment horizontal="center" vertical="center"/>
    </xf>
    <xf numFmtId="164" fontId="7" fillId="4" borderId="3" xfId="0" applyNumberFormat="1" applyFont="1" applyFill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8" fontId="7" fillId="4" borderId="21" xfId="0" applyNumberFormat="1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164" fontId="5" fillId="4" borderId="18" xfId="1" applyNumberFormat="1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0" xfId="0" applyFont="1" applyFill="1" applyBorder="1"/>
    <xf numFmtId="0" fontId="2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/>
    </xf>
    <xf numFmtId="0" fontId="7" fillId="0" borderId="28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 wrapText="1"/>
    </xf>
    <xf numFmtId="0" fontId="7" fillId="0" borderId="17" xfId="0" applyFont="1" applyBorder="1" applyAlignment="1">
      <alignment horizontal="center" wrapText="1"/>
    </xf>
    <xf numFmtId="0" fontId="7" fillId="4" borderId="0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C9ABD"/>
      <color rgb="FFCC99FF"/>
      <color rgb="FFEC88B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Porcentagem de ativos por perfil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Simulador!$J$1</c:f>
              <c:strCache>
                <c:ptCount val="1"/>
                <c:pt idx="0">
                  <c:v>porcentagem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D3-4CF7-88AB-4D236999B16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D3-4CF7-88AB-4D236999B16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AD3-4CF7-88AB-4D236999B16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Simulador!$I$2:$I$4</c:f>
              <c:strCache>
                <c:ptCount val="3"/>
                <c:pt idx="0">
                  <c:v>Conservador</c:v>
                </c:pt>
                <c:pt idx="1">
                  <c:v>Moderado</c:v>
                </c:pt>
                <c:pt idx="2">
                  <c:v>Arrojado</c:v>
                </c:pt>
              </c:strCache>
            </c:strRef>
          </c:cat>
          <c:val>
            <c:numRef>
              <c:f>Simulador!$J$2:$J$4</c:f>
              <c:numCache>
                <c:formatCode>General</c:formatCode>
                <c:ptCount val="3"/>
                <c:pt idx="0">
                  <c:v>0.23809523809523808</c:v>
                </c:pt>
                <c:pt idx="1">
                  <c:v>0.33333333333333331</c:v>
                </c:pt>
                <c:pt idx="2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3-4CF7-88AB-4D236999B16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1049111</xdr:colOff>
      <xdr:row>0</xdr:row>
      <xdr:rowOff>152944</xdr:rowOff>
    </xdr:from>
    <xdr:to>
      <xdr:col>6</xdr:col>
      <xdr:colOff>209549</xdr:colOff>
      <xdr:row>7</xdr:row>
      <xdr:rowOff>174399</xdr:rowOff>
    </xdr:to>
    <xdr:pic>
      <xdr:nvPicPr>
        <xdr:cNvPr id="3" name="Imagem 2" descr="C:\Users\isabe\Downloads\Banner Rosa com Porquinho Investidor.png">
          <a:extLst>
            <a:ext uri="{FF2B5EF4-FFF2-40B4-BE49-F238E27FC236}">
              <a16:creationId xmlns:a16="http://schemas.microsoft.com/office/drawing/2014/main" id="{994246A0-A414-435F-8E7E-E136BBA034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13" b="26931"/>
        <a:stretch/>
      </xdr:blipFill>
      <xdr:spPr bwMode="auto">
        <a:xfrm>
          <a:off x="3316061" y="152944"/>
          <a:ext cx="10799988" cy="1345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331442</xdr:colOff>
      <xdr:row>16</xdr:row>
      <xdr:rowOff>159786</xdr:rowOff>
    </xdr:from>
    <xdr:to>
      <xdr:col>7</xdr:col>
      <xdr:colOff>360017</xdr:colOff>
      <xdr:row>30</xdr:row>
      <xdr:rowOff>26160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C2EAD2C-75A1-48EE-BD70-C12920D1B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19A1-2DE1-49B2-9E57-D95A27AA0C45}">
  <dimension ref="B1:L30"/>
  <sheetViews>
    <sheetView showGridLines="0" tabSelected="1" zoomScale="69" zoomScaleNormal="80" workbookViewId="0">
      <selection activeCell="E35" sqref="E35"/>
    </sheetView>
  </sheetViews>
  <sheetFormatPr defaultRowHeight="14.4" x14ac:dyDescent="0.3"/>
  <cols>
    <col min="1" max="1" width="33.109375" customWidth="1"/>
    <col min="2" max="2" width="33.21875" customWidth="1"/>
    <col min="3" max="3" width="37.33203125" customWidth="1"/>
    <col min="4" max="6" width="33.109375" customWidth="1"/>
    <col min="7" max="7" width="33.21875" customWidth="1"/>
    <col min="8" max="9" width="19.109375" customWidth="1"/>
    <col min="10" max="11" width="26" bestFit="1" customWidth="1"/>
    <col min="12" max="12" width="16.88671875" customWidth="1"/>
  </cols>
  <sheetData>
    <row r="1" spans="2:12" x14ac:dyDescent="0.3">
      <c r="H1" s="31"/>
      <c r="I1" s="31" t="s">
        <v>20</v>
      </c>
      <c r="J1" s="31" t="s">
        <v>21</v>
      </c>
    </row>
    <row r="2" spans="2:12" ht="15.6" x14ac:dyDescent="0.3">
      <c r="H2" s="32"/>
      <c r="I2" s="33" t="s">
        <v>5</v>
      </c>
      <c r="J2" s="32">
        <v>0.23809523809523808</v>
      </c>
      <c r="L2" s="2"/>
    </row>
    <row r="3" spans="2:12" ht="15.6" x14ac:dyDescent="0.3">
      <c r="H3" s="34"/>
      <c r="I3" s="33" t="s">
        <v>13</v>
      </c>
      <c r="J3" s="32">
        <v>0.33333333333333331</v>
      </c>
      <c r="L3" s="5"/>
    </row>
    <row r="4" spans="2:12" ht="15.6" x14ac:dyDescent="0.3">
      <c r="H4" s="34"/>
      <c r="I4" s="33" t="s">
        <v>14</v>
      </c>
      <c r="J4" s="32">
        <v>0.42857142857142855</v>
      </c>
      <c r="L4" s="5"/>
    </row>
    <row r="5" spans="2:12" x14ac:dyDescent="0.3">
      <c r="H5" s="34"/>
      <c r="I5" s="35"/>
      <c r="J5" s="35"/>
      <c r="L5" s="5"/>
    </row>
    <row r="9" spans="2:12" x14ac:dyDescent="0.3">
      <c r="E9" s="1"/>
      <c r="F9" s="1"/>
    </row>
    <row r="11" spans="2:12" ht="21" customHeight="1" x14ac:dyDescent="0.3">
      <c r="B11" s="26" t="s">
        <v>8</v>
      </c>
      <c r="C11" s="27" t="s">
        <v>9</v>
      </c>
      <c r="D11" s="27" t="s">
        <v>10</v>
      </c>
      <c r="E11" s="27" t="s">
        <v>11</v>
      </c>
      <c r="F11" s="28" t="s">
        <v>12</v>
      </c>
      <c r="G11" s="28" t="s">
        <v>19</v>
      </c>
    </row>
    <row r="12" spans="2:12" ht="15.6" x14ac:dyDescent="0.3">
      <c r="B12" s="9" t="s">
        <v>5</v>
      </c>
      <c r="C12" s="10">
        <v>0.9</v>
      </c>
      <c r="D12" s="10">
        <v>0</v>
      </c>
      <c r="E12" s="10">
        <v>0.1</v>
      </c>
      <c r="F12" s="11">
        <v>5.0000000000000001E-3</v>
      </c>
      <c r="G12" s="12">
        <f>$E$27+(aporte_mensal*F12)</f>
        <v>1505</v>
      </c>
    </row>
    <row r="13" spans="2:12" ht="15.6" x14ac:dyDescent="0.3">
      <c r="B13" s="13" t="s">
        <v>13</v>
      </c>
      <c r="C13" s="14">
        <v>0.6</v>
      </c>
      <c r="D13" s="14">
        <v>0.25</v>
      </c>
      <c r="E13" s="14">
        <v>0.15</v>
      </c>
      <c r="F13" s="15">
        <v>7.0000000000000001E-3</v>
      </c>
      <c r="G13" s="16">
        <f>$E$27+(aporte_mensal*F13)</f>
        <v>1507</v>
      </c>
    </row>
    <row r="14" spans="2:12" ht="15.6" x14ac:dyDescent="0.3">
      <c r="B14" s="17" t="s">
        <v>14</v>
      </c>
      <c r="C14" s="18">
        <v>0.3</v>
      </c>
      <c r="D14" s="18">
        <v>0.3</v>
      </c>
      <c r="E14" s="18">
        <v>0.4</v>
      </c>
      <c r="F14" s="19">
        <v>8.9999999999999993E-3</v>
      </c>
      <c r="G14" s="20">
        <f>$E$27+(aporte_mensal*F14)</f>
        <v>1509</v>
      </c>
    </row>
    <row r="16" spans="2:12" ht="15" x14ac:dyDescent="0.3">
      <c r="B16" s="54" t="s">
        <v>22</v>
      </c>
      <c r="C16" s="54"/>
    </row>
    <row r="18" spans="3:10" ht="21" x14ac:dyDescent="0.5">
      <c r="C18" s="48" t="s">
        <v>2</v>
      </c>
      <c r="D18" s="49"/>
      <c r="E18" s="49"/>
      <c r="J18" s="4"/>
    </row>
    <row r="19" spans="3:10" ht="15.6" customHeight="1" x14ac:dyDescent="0.3">
      <c r="C19" s="50" t="s">
        <v>1</v>
      </c>
      <c r="D19" s="51"/>
      <c r="E19" s="7">
        <v>5000</v>
      </c>
      <c r="I19" s="3"/>
      <c r="J19" s="3"/>
    </row>
    <row r="20" spans="3:10" ht="15.6" customHeight="1" x14ac:dyDescent="0.3">
      <c r="C20" s="52" t="s">
        <v>4</v>
      </c>
      <c r="D20" s="53"/>
      <c r="E20" s="29">
        <f>(E19*30%)</f>
        <v>1500</v>
      </c>
      <c r="I20" s="3"/>
      <c r="J20" s="3"/>
    </row>
    <row r="21" spans="3:10" ht="15.6" customHeight="1" x14ac:dyDescent="0.3">
      <c r="C21" s="40" t="s">
        <v>3</v>
      </c>
      <c r="D21" s="41"/>
      <c r="E21" s="30" t="s">
        <v>13</v>
      </c>
      <c r="J21" s="3"/>
    </row>
    <row r="23" spans="3:10" ht="15" x14ac:dyDescent="0.3">
      <c r="H23" s="6"/>
    </row>
    <row r="24" spans="3:10" ht="21" x14ac:dyDescent="0.5">
      <c r="C24" s="42" t="s">
        <v>7</v>
      </c>
      <c r="D24" s="43"/>
      <c r="E24" s="43"/>
      <c r="H24" s="6"/>
    </row>
    <row r="25" spans="3:10" ht="15.6" x14ac:dyDescent="0.3">
      <c r="C25" s="44" t="s">
        <v>0</v>
      </c>
      <c r="D25" s="45"/>
      <c r="E25" s="21">
        <v>1000</v>
      </c>
    </row>
    <row r="26" spans="3:10" ht="15.6" x14ac:dyDescent="0.3">
      <c r="C26" s="46" t="s">
        <v>17</v>
      </c>
      <c r="D26" s="47"/>
      <c r="E26" s="22">
        <v>5</v>
      </c>
    </row>
    <row r="27" spans="3:10" ht="15.6" x14ac:dyDescent="0.3">
      <c r="C27" s="46" t="s">
        <v>18</v>
      </c>
      <c r="D27" s="47"/>
      <c r="E27" s="23">
        <v>1500</v>
      </c>
    </row>
    <row r="28" spans="3:10" ht="15.6" x14ac:dyDescent="0.3">
      <c r="C28" s="36" t="s">
        <v>6</v>
      </c>
      <c r="D28" s="37"/>
      <c r="E28" s="24">
        <f>VLOOKUP(E21,B:F,5,FALSE)</f>
        <v>7.0000000000000001E-3</v>
      </c>
    </row>
    <row r="29" spans="3:10" ht="15.6" x14ac:dyDescent="0.3">
      <c r="C29" s="36" t="s">
        <v>15</v>
      </c>
      <c r="D29" s="37"/>
      <c r="E29" s="8">
        <f>FV(taxa,anos*12,-aporte_mensal,-patrimonio_inicial,)</f>
        <v>76527.645380946793</v>
      </c>
    </row>
    <row r="30" spans="3:10" ht="15.6" x14ac:dyDescent="0.3">
      <c r="C30" s="38" t="s">
        <v>16</v>
      </c>
      <c r="D30" s="39"/>
      <c r="E30" s="25">
        <f>patrimonio_projetado*taxa</f>
        <v>535.6935176666276</v>
      </c>
    </row>
  </sheetData>
  <mergeCells count="12">
    <mergeCell ref="C18:E18"/>
    <mergeCell ref="C19:D19"/>
    <mergeCell ref="C20:D20"/>
    <mergeCell ref="B16:C16"/>
    <mergeCell ref="C29:D29"/>
    <mergeCell ref="C30:D30"/>
    <mergeCell ref="C21:D21"/>
    <mergeCell ref="C24:E24"/>
    <mergeCell ref="C25:D25"/>
    <mergeCell ref="C26:D26"/>
    <mergeCell ref="C27:D27"/>
    <mergeCell ref="C28:D28"/>
  </mergeCells>
  <dataValidations count="2">
    <dataValidation type="list" allowBlank="1" showInputMessage="1" showErrorMessage="1" sqref="E21" xr:uid="{56F21165-609B-4403-BD66-449868029965}">
      <formula1>"Conservador,Moderado,Arrojado"</formula1>
    </dataValidation>
    <dataValidation type="list" allowBlank="1" showInputMessage="1" showErrorMessage="1" sqref="E26" xr:uid="{228D10AA-111E-4185-B375-D1384B64960C}">
      <formula1>"2,5,10,20,30"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12</vt:i4>
      </vt:variant>
    </vt:vector>
  </HeadingPairs>
  <TitlesOfParts>
    <vt:vector size="13" baseType="lpstr">
      <vt:lpstr>Simulador</vt:lpstr>
      <vt:lpstr>anos</vt:lpstr>
      <vt:lpstr>aporte_mensal</vt:lpstr>
      <vt:lpstr>Arrojado</vt:lpstr>
      <vt:lpstr>Conservador</vt:lpstr>
      <vt:lpstr>dividendo_mensal</vt:lpstr>
      <vt:lpstr>Moderado</vt:lpstr>
      <vt:lpstr>patrimonio_inicial</vt:lpstr>
      <vt:lpstr>patrimonio_projetado</vt:lpstr>
      <vt:lpstr>Perfil</vt:lpstr>
      <vt:lpstr>salario</vt:lpstr>
      <vt:lpstr>taxa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Santos e Oliveira</dc:creator>
  <cp:lastModifiedBy>Isabella Santos e Oliveira</cp:lastModifiedBy>
  <dcterms:created xsi:type="dcterms:W3CDTF">2026-10-16T23:08:23Z</dcterms:created>
  <dcterms:modified xsi:type="dcterms:W3CDTF">2026-10-19T19:30:11Z</dcterms:modified>
</cp:coreProperties>
</file>